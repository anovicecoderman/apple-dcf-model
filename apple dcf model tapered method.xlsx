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uation" sheetId="1" r:id="rId5"/>
    <sheet state="visible" name="drivers" sheetId="2" r:id="rId6"/>
  </sheets>
  <definedNames/>
  <calcPr/>
</workbook>
</file>

<file path=xl/sharedStrings.xml><?xml version="1.0" encoding="utf-8"?>
<sst xmlns="http://schemas.openxmlformats.org/spreadsheetml/2006/main" count="22" uniqueCount="21">
  <si>
    <t>stock</t>
  </si>
  <si>
    <t>AAPL</t>
  </si>
  <si>
    <t>DISCOUNTED CASHFLOW ANALYSIS MODEL</t>
  </si>
  <si>
    <t>YEAR</t>
  </si>
  <si>
    <t>FREE CASH FLOW</t>
  </si>
  <si>
    <t>GROWTH</t>
  </si>
  <si>
    <t>Growth rate:</t>
  </si>
  <si>
    <t>average growth rate</t>
  </si>
  <si>
    <t xml:space="preserve">tapred growth rate </t>
  </si>
  <si>
    <t>for last 4 years</t>
  </si>
  <si>
    <t>TERMINAL VALUE</t>
  </si>
  <si>
    <t>FUTURE FREE CASHFLOW</t>
  </si>
  <si>
    <t>PV OF FFCF</t>
  </si>
  <si>
    <t>perpetual growth rate</t>
  </si>
  <si>
    <t>sum of FCF</t>
  </si>
  <si>
    <t>Discount rate</t>
  </si>
  <si>
    <t>Cash and cash equivalents</t>
  </si>
  <si>
    <t>TOTAL DEBT</t>
  </si>
  <si>
    <t>Equity Value</t>
  </si>
  <si>
    <t>Shares outstanding</t>
  </si>
  <si>
    <t>DCF Price per share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</si>
</sst>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sz val="25.0"/>
      <color theme="1"/>
      <name val="Arial"/>
      <scheme val="minor"/>
    </font>
    <font>
      <sz val="18.0"/>
      <color theme="1"/>
      <name val="Arial"/>
      <scheme val="minor"/>
    </font>
    <font>
      <color rgb="FF1155CC"/>
      <name val="Arial"/>
      <scheme val="minor"/>
    </font>
    <font>
      <sz val="5.0"/>
      <color theme="1"/>
      <name val="Arial"/>
      <scheme val="minor"/>
    </font>
    <font>
      <color rgb="FF3C78D8"/>
      <name val="Arial"/>
      <scheme val="minor"/>
    </font>
    <font>
      <sz val="11.0"/>
      <color rgb="FF3C78D8"/>
      <name val="Roboto"/>
    </font>
    <font>
      <sz val="11.0"/>
      <color rgb="FF000000"/>
      <name val="Roboto"/>
    </font>
    <font>
      <sz val="11.0"/>
      <color rgb="FF3C78D8"/>
      <name val="Arial"/>
    </font>
    <font>
      <sz val="14.0"/>
      <color theme="1"/>
      <name val="Arial"/>
      <scheme val="minor"/>
    </font>
    <font/>
  </fonts>
  <fills count="12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A2C4C9"/>
        <bgColor rgb="FFA2C4C9"/>
      </patternFill>
    </fill>
    <fill>
      <patternFill patternType="solid">
        <fgColor rgb="FFFFFFFF"/>
        <bgColor rgb="FFFFFFFF"/>
      </patternFill>
    </fill>
    <fill>
      <patternFill patternType="solid">
        <fgColor rgb="FFCC4125"/>
        <bgColor rgb="FFCC4125"/>
      </patternFill>
    </fill>
    <fill>
      <patternFill patternType="solid">
        <fgColor rgb="FFB6D7A8"/>
        <bgColor rgb="FFB6D7A8"/>
      </patternFill>
    </fill>
  </fills>
  <borders count="14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readingOrder="0"/>
    </xf>
    <xf borderId="0" fillId="3" fontId="3" numFmtId="0" xfId="0" applyAlignment="1" applyFill="1" applyFont="1">
      <alignment horizontal="center" readingOrder="0"/>
    </xf>
    <xf borderId="2" fillId="4" fontId="1" numFmtId="0" xfId="0" applyAlignment="1" applyBorder="1" applyFill="1" applyFont="1">
      <alignment readingOrder="0"/>
    </xf>
    <xf borderId="3" fillId="5" fontId="4" numFmtId="0" xfId="0" applyAlignment="1" applyBorder="1" applyFill="1" applyFont="1">
      <alignment horizontal="center" readingOrder="0"/>
    </xf>
    <xf borderId="3" fillId="6" fontId="1" numFmtId="0" xfId="0" applyAlignment="1" applyBorder="1" applyFill="1" applyFont="1">
      <alignment horizontal="center" readingOrder="0"/>
    </xf>
    <xf borderId="3" fillId="6" fontId="1" numFmtId="0" xfId="0" applyAlignment="1" applyBorder="1" applyFill="1" applyFont="1">
      <alignment horizontal="center"/>
    </xf>
    <xf borderId="2" fillId="4" fontId="5" numFmtId="0" xfId="0" applyAlignment="1" applyBorder="1" applyFill="1" applyFont="1">
      <alignment readingOrder="0"/>
    </xf>
    <xf borderId="4" fillId="5" fontId="4" numFmtId="164" xfId="0" applyAlignment="1" applyBorder="1" applyFill="1" applyFont="1" applyNumberFormat="1">
      <alignment horizontal="center" readingOrder="0"/>
    </xf>
    <xf borderId="4" fillId="5" fontId="6" numFmtId="164" xfId="0" applyAlignment="1" applyBorder="1" applyFill="1" applyFont="1" applyNumberFormat="1">
      <alignment horizontal="center" readingOrder="0"/>
    </xf>
    <xf borderId="4" fillId="5" fontId="7" numFmtId="164" xfId="0" applyAlignment="1" applyBorder="1" applyFill="1" applyFont="1" applyNumberFormat="1">
      <alignment horizontal="center" readingOrder="0"/>
    </xf>
    <xf borderId="1" fillId="4" fontId="1" numFmtId="0" xfId="0" applyAlignment="1" applyBorder="1" applyFill="1" applyFont="1">
      <alignment readingOrder="0"/>
    </xf>
    <xf borderId="5" fillId="0" fontId="1" numFmtId="10" xfId="0" applyAlignment="1" applyBorder="1" applyFont="1" applyNumberFormat="1">
      <alignment horizontal="center"/>
    </xf>
    <xf borderId="5" fillId="0" fontId="1" numFmtId="10" xfId="0" applyAlignment="1" applyBorder="1" applyFont="1" applyNumberFormat="1">
      <alignment horizontal="center" readingOrder="0"/>
    </xf>
    <xf borderId="6" fillId="0" fontId="1" numFmtId="10" xfId="0" applyAlignment="1" applyBorder="1" applyFont="1" applyNumberFormat="1">
      <alignment horizontal="center" readingOrder="0"/>
    </xf>
    <xf borderId="0" fillId="0" fontId="1" numFmtId="10" xfId="0" applyAlignment="1" applyFont="1" applyNumberFormat="1">
      <alignment horizontal="center"/>
    </xf>
    <xf borderId="4" fillId="4" fontId="1" numFmtId="0" xfId="0" applyAlignment="1" applyBorder="1" applyFill="1" applyFont="1">
      <alignment horizontal="center" readingOrder="0"/>
    </xf>
    <xf borderId="4" fillId="5" fontId="4" numFmtId="10" xfId="0" applyAlignment="1" applyBorder="1" applyFill="1" applyFont="1" applyNumberFormat="1">
      <alignment horizontal="center" readingOrder="0"/>
    </xf>
    <xf borderId="0" fillId="0" fontId="6" numFmtId="9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4" fillId="5" fontId="1" numFmtId="0" xfId="0" applyAlignment="1" applyBorder="1" applyFill="1" applyFont="1">
      <alignment horizontal="center" readingOrder="0"/>
    </xf>
    <xf borderId="4" fillId="5" fontId="4" numFmtId="10" xfId="0" applyAlignment="1" applyBorder="1" applyFill="1" applyFont="1" applyNumberFormat="1">
      <alignment horizontal="center"/>
    </xf>
    <xf borderId="0" fillId="5" fontId="6" numFmtId="10" xfId="0" applyAlignment="1" applyFill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5" fontId="1" numFmtId="0" xfId="0" applyAlignment="1" applyFill="1" applyFont="1">
      <alignment horizontal="center" readingOrder="0"/>
    </xf>
    <xf borderId="4" fillId="7" fontId="1" numFmtId="0" xfId="0" applyAlignment="1" applyBorder="1" applyFill="1" applyFont="1">
      <alignment readingOrder="0"/>
    </xf>
    <xf borderId="4" fillId="5" fontId="6" numFmtId="0" xfId="0" applyAlignment="1" applyBorder="1" applyFill="1" applyFont="1">
      <alignment horizontal="center" readingOrder="0"/>
    </xf>
    <xf borderId="4" fillId="8" fontId="1" numFmtId="0" xfId="0" applyAlignment="1" applyBorder="1" applyFill="1" applyFont="1">
      <alignment horizontal="center" readingOrder="0"/>
    </xf>
    <xf borderId="7" fillId="8" fontId="1" numFmtId="0" xfId="0" applyAlignment="1" applyBorder="1" applyFill="1" applyFont="1">
      <alignment horizontal="center" readingOrder="0"/>
    </xf>
    <xf borderId="4" fillId="0" fontId="1" numFmtId="164" xfId="0" applyAlignment="1" applyBorder="1" applyFont="1" applyNumberFormat="1">
      <alignment horizontal="center" readingOrder="0"/>
    </xf>
    <xf borderId="8" fillId="0" fontId="1" numFmtId="164" xfId="0" applyAlignment="1" applyBorder="1" applyFont="1" applyNumberFormat="1">
      <alignment horizontal="center" readingOrder="0"/>
    </xf>
    <xf borderId="1" fillId="9" fontId="8" numFmtId="164" xfId="0" applyAlignment="1" applyBorder="1" applyFill="1" applyFont="1" applyNumberFormat="1">
      <alignment readingOrder="0"/>
    </xf>
    <xf borderId="9" fillId="0" fontId="1" numFmtId="0" xfId="0" applyBorder="1" applyFont="1"/>
    <xf borderId="4" fillId="0" fontId="1" numFmtId="164" xfId="0" applyAlignment="1" applyBorder="1" applyFont="1" applyNumberFormat="1">
      <alignment horizontal="center"/>
    </xf>
    <xf borderId="4" fillId="0" fontId="1" numFmtId="0" xfId="0" applyBorder="1" applyFont="1"/>
    <xf borderId="4" fillId="6" fontId="1" numFmtId="0" xfId="0" applyAlignment="1" applyBorder="1" applyFill="1" applyFont="1">
      <alignment horizontal="center" readingOrder="0"/>
    </xf>
    <xf borderId="4" fillId="5" fontId="6" numFmtId="10" xfId="0" applyAlignment="1" applyBorder="1" applyFill="1" applyFont="1" applyNumberFormat="1">
      <alignment horizontal="center" readingOrder="0"/>
    </xf>
    <xf borderId="10" fillId="0" fontId="1" numFmtId="0" xfId="0" applyAlignment="1" applyBorder="1" applyFont="1">
      <alignment readingOrder="0"/>
    </xf>
    <xf borderId="11" fillId="0" fontId="1" numFmtId="164" xfId="0" applyAlignment="1" applyBorder="1" applyFont="1" applyNumberFormat="1">
      <alignment horizontal="center"/>
    </xf>
    <xf borderId="4" fillId="10" fontId="1" numFmtId="0" xfId="0" applyAlignment="1" applyBorder="1" applyFill="1" applyFont="1">
      <alignment horizontal="center" readingOrder="0"/>
    </xf>
    <xf borderId="12" fillId="0" fontId="1" numFmtId="0" xfId="0" applyAlignment="1" applyBorder="1" applyFont="1">
      <alignment readingOrder="0"/>
    </xf>
    <xf borderId="0" fillId="5" fontId="9" numFmtId="164" xfId="0" applyAlignment="1" applyFill="1" applyFont="1" applyNumberFormat="1">
      <alignment horizontal="right" readingOrder="0" shrinkToFit="0" wrapText="0"/>
    </xf>
    <xf borderId="13" fillId="5" fontId="6" numFmtId="164" xfId="0" applyAlignment="1" applyBorder="1" applyFill="1" applyFont="1" applyNumberFormat="1">
      <alignment horizontal="center" readingOrder="0"/>
    </xf>
    <xf borderId="13" fillId="0" fontId="1" numFmtId="164" xfId="0" applyAlignment="1" applyBorder="1" applyFont="1" applyNumberFormat="1">
      <alignment horizontal="center"/>
    </xf>
    <xf borderId="13" fillId="5" fontId="6" numFmtId="0" xfId="0" applyAlignment="1" applyBorder="1" applyFill="1" applyFont="1">
      <alignment horizontal="center" readingOrder="0"/>
    </xf>
    <xf borderId="12" fillId="11" fontId="10" numFmtId="0" xfId="0" applyAlignment="1" applyBorder="1" applyFill="1" applyFont="1">
      <alignment horizontal="center" readingOrder="0" vertical="center"/>
    </xf>
    <xf borderId="12" fillId="11" fontId="1" numFmtId="164" xfId="0" applyAlignment="1" applyBorder="1" applyFill="1" applyFont="1" applyNumberFormat="1">
      <alignment horizontal="center"/>
    </xf>
    <xf borderId="12" fillId="0" fontId="1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10" max="10" width="21.5"/>
    <col customWidth="1" min="11" max="11" width="27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 t="s">
        <v>1</v>
      </c>
      <c r="B2" s="2"/>
      <c r="C2" s="4" t="s">
        <v>2</v>
      </c>
      <c r="J2" s="2"/>
      <c r="K2" s="2"/>
    </row>
    <row r="3">
      <c r="B3" s="2"/>
      <c r="J3" s="2"/>
      <c r="K3" s="2"/>
    </row>
    <row r="4">
      <c r="B4" s="2"/>
      <c r="C4" s="2"/>
      <c r="D4" s="2"/>
      <c r="E4" s="2"/>
      <c r="F4" s="2"/>
      <c r="G4" s="2"/>
      <c r="H4" s="2"/>
      <c r="I4" s="2"/>
      <c r="J4" s="2"/>
      <c r="K4" s="2"/>
    </row>
    <row r="5">
      <c r="A5" s="5" t="s">
        <v>3</v>
      </c>
      <c r="B5" s="6">
        <v>2015.0</v>
      </c>
      <c r="C5" s="7">
        <f t="shared" ref="C5:K5" si="1">if(B5="","",B5+1)</f>
        <v>2016</v>
      </c>
      <c r="D5" s="7">
        <f t="shared" si="1"/>
        <v>2017</v>
      </c>
      <c r="E5" s="7">
        <f t="shared" si="1"/>
        <v>2018</v>
      </c>
      <c r="F5" s="7">
        <f t="shared" si="1"/>
        <v>2019</v>
      </c>
      <c r="G5" s="7">
        <f t="shared" si="1"/>
        <v>2020</v>
      </c>
      <c r="H5" s="7">
        <f t="shared" si="1"/>
        <v>2021</v>
      </c>
      <c r="I5" s="7">
        <f t="shared" si="1"/>
        <v>2022</v>
      </c>
      <c r="J5" s="7">
        <f t="shared" si="1"/>
        <v>2023</v>
      </c>
      <c r="K5" s="7">
        <f t="shared" si="1"/>
        <v>2024</v>
      </c>
      <c r="L5" s="8"/>
    </row>
    <row r="6">
      <c r="A6" s="9" t="s">
        <v>4</v>
      </c>
      <c r="B6" s="10">
        <v>70019.0</v>
      </c>
      <c r="C6" s="11">
        <v>53497.0</v>
      </c>
      <c r="D6" s="11">
        <v>51774.0</v>
      </c>
      <c r="E6" s="11">
        <v>64121.0</v>
      </c>
      <c r="F6" s="11">
        <v>58896.0</v>
      </c>
      <c r="G6" s="11">
        <v>73365.0</v>
      </c>
      <c r="H6" s="12">
        <v>92953.0</v>
      </c>
      <c r="I6" s="11">
        <v>111443.0</v>
      </c>
      <c r="J6" s="11">
        <v>99584.0</v>
      </c>
      <c r="K6" s="11">
        <v>108807.0</v>
      </c>
    </row>
    <row r="7">
      <c r="A7" s="13" t="s">
        <v>5</v>
      </c>
      <c r="B7" s="14"/>
      <c r="C7" s="15">
        <f t="shared" ref="C7:F7" si="2">IF(B6="","",(C6-B6)/B6)</f>
        <v>-0.2359645239</v>
      </c>
      <c r="D7" s="14">
        <f t="shared" si="2"/>
        <v>-0.0322074135</v>
      </c>
      <c r="E7" s="14">
        <f t="shared" si="2"/>
        <v>0.2384787731</v>
      </c>
      <c r="F7" s="14">
        <f t="shared" si="2"/>
        <v>-0.08148656446</v>
      </c>
      <c r="G7" s="14">
        <f t="shared" ref="G7:K7" si="3">if(F6="","",(G6-F6)/F6)</f>
        <v>0.2456703341</v>
      </c>
      <c r="H7" s="14">
        <f t="shared" si="3"/>
        <v>0.2669937981</v>
      </c>
      <c r="I7" s="14">
        <f t="shared" si="3"/>
        <v>0.1989177326</v>
      </c>
      <c r="J7" s="14">
        <f t="shared" si="3"/>
        <v>-0.1064131439</v>
      </c>
      <c r="K7" s="16">
        <f t="shared" si="3"/>
        <v>0.09261527956</v>
      </c>
    </row>
    <row r="8">
      <c r="B8" s="2"/>
      <c r="C8" s="17"/>
      <c r="D8" s="2"/>
      <c r="E8" s="2"/>
      <c r="F8" s="2"/>
      <c r="G8" s="2"/>
      <c r="H8" s="2"/>
      <c r="I8" s="2"/>
      <c r="J8" s="2"/>
      <c r="K8" s="2"/>
    </row>
    <row r="9">
      <c r="B9" s="2"/>
      <c r="C9" s="2"/>
      <c r="D9" s="2"/>
      <c r="E9" s="2"/>
      <c r="F9" s="2"/>
      <c r="G9" s="2"/>
      <c r="H9" s="2"/>
      <c r="I9" s="2"/>
      <c r="J9" s="18" t="s">
        <v>6</v>
      </c>
      <c r="K9" s="19">
        <v>0.09</v>
      </c>
      <c r="L9" s="20"/>
    </row>
    <row r="10">
      <c r="B10" s="2"/>
      <c r="C10" s="21"/>
      <c r="D10" s="2"/>
      <c r="E10" s="2"/>
      <c r="F10" s="2"/>
      <c r="G10" s="2"/>
      <c r="H10" s="2"/>
      <c r="I10" s="2"/>
      <c r="J10" s="22" t="s">
        <v>7</v>
      </c>
      <c r="K10" s="23">
        <f>if(C7="","",AVERAGE(C7:K7))</f>
        <v>0.06517825242</v>
      </c>
    </row>
    <row r="11">
      <c r="B11" s="2"/>
      <c r="C11" s="2"/>
      <c r="D11" s="2"/>
      <c r="E11" s="2"/>
      <c r="F11" s="2"/>
      <c r="G11" s="2"/>
      <c r="H11" s="2"/>
      <c r="I11" s="2"/>
      <c r="J11" s="21" t="s">
        <v>8</v>
      </c>
      <c r="K11" s="24">
        <v>0.05</v>
      </c>
      <c r="L11" s="25" t="s">
        <v>9</v>
      </c>
    </row>
    <row r="12">
      <c r="B12" s="26">
        <v>1.0</v>
      </c>
      <c r="C12" s="2">
        <f t="shared" ref="C12:K12" si="4">if(B12="","",B12+1)</f>
        <v>2</v>
      </c>
      <c r="D12" s="2">
        <f t="shared" si="4"/>
        <v>3</v>
      </c>
      <c r="E12" s="2">
        <f t="shared" si="4"/>
        <v>4</v>
      </c>
      <c r="F12" s="2">
        <f t="shared" si="4"/>
        <v>5</v>
      </c>
      <c r="G12" s="2">
        <f t="shared" si="4"/>
        <v>6</v>
      </c>
      <c r="H12" s="2">
        <f t="shared" si="4"/>
        <v>7</v>
      </c>
      <c r="I12" s="2">
        <f t="shared" si="4"/>
        <v>8</v>
      </c>
      <c r="J12" s="2">
        <f t="shared" si="4"/>
        <v>9</v>
      </c>
      <c r="K12" s="2">
        <f t="shared" si="4"/>
        <v>10</v>
      </c>
    </row>
    <row r="13">
      <c r="A13" s="27" t="s">
        <v>3</v>
      </c>
      <c r="B13" s="28">
        <v>2025.0</v>
      </c>
      <c r="C13" s="29">
        <f t="shared" ref="C13:J13" si="5">B13+1</f>
        <v>2026</v>
      </c>
      <c r="D13" s="29">
        <f t="shared" si="5"/>
        <v>2027</v>
      </c>
      <c r="E13" s="29">
        <f t="shared" si="5"/>
        <v>2028</v>
      </c>
      <c r="F13" s="29">
        <f t="shared" si="5"/>
        <v>2029</v>
      </c>
      <c r="G13" s="29">
        <f t="shared" si="5"/>
        <v>2030</v>
      </c>
      <c r="H13" s="29">
        <f t="shared" si="5"/>
        <v>2031</v>
      </c>
      <c r="I13" s="29">
        <f t="shared" si="5"/>
        <v>2032</v>
      </c>
      <c r="J13" s="29">
        <f t="shared" si="5"/>
        <v>2033</v>
      </c>
      <c r="K13" s="30" t="s">
        <v>10</v>
      </c>
    </row>
    <row r="14">
      <c r="A14" s="27" t="s">
        <v>11</v>
      </c>
      <c r="B14" s="31">
        <f>if(K6="","",K6*(1+$K$9))</f>
        <v>118599.63</v>
      </c>
      <c r="C14" s="31">
        <f t="shared" ref="C14:F14" si="6">if(B14="","",B14*(1+$K$9))</f>
        <v>129273.5967</v>
      </c>
      <c r="D14" s="31">
        <f t="shared" si="6"/>
        <v>140908.2204</v>
      </c>
      <c r="E14" s="31">
        <f t="shared" si="6"/>
        <v>153589.9602</v>
      </c>
      <c r="F14" s="31">
        <f t="shared" si="6"/>
        <v>167413.0567</v>
      </c>
      <c r="G14" s="31">
        <f t="shared" ref="G14:J14" si="7">if(F14="","",F14*(1+$K$11))</f>
        <v>175783.7095</v>
      </c>
      <c r="H14" s="31">
        <f t="shared" si="7"/>
        <v>184572.895</v>
      </c>
      <c r="I14" s="31">
        <f t="shared" si="7"/>
        <v>193801.5397</v>
      </c>
      <c r="J14" s="32">
        <f t="shared" si="7"/>
        <v>203491.6167</v>
      </c>
      <c r="K14" s="33">
        <f>if(J14="","",J14*(1+K18)/(K19-K18))</f>
        <v>3792343.766</v>
      </c>
      <c r="L14" s="34"/>
    </row>
    <row r="15">
      <c r="A15" s="27" t="s">
        <v>12</v>
      </c>
      <c r="B15" s="35">
        <f>B14/(1+K19)^B12</f>
        <v>109814.4722</v>
      </c>
      <c r="C15" s="35">
        <f>C14/(1+K19)^C12</f>
        <v>110831.2729</v>
      </c>
      <c r="D15" s="35">
        <f>D14/(1+K19)^D12</f>
        <v>111857.4884</v>
      </c>
      <c r="E15" s="35">
        <f>E14/(1+K19)^E12</f>
        <v>112893.2059</v>
      </c>
      <c r="F15" s="35">
        <f>F14/(1+K19)^F12</f>
        <v>113938.5133</v>
      </c>
      <c r="G15" s="35">
        <f>G14/(1+K19)^G12</f>
        <v>110773.5546</v>
      </c>
      <c r="H15" s="35">
        <f>H14/(1+K19)^H12</f>
        <v>107696.5114</v>
      </c>
      <c r="I15" s="35">
        <f>I14/(1+K19)^I12</f>
        <v>104704.9417</v>
      </c>
      <c r="J15" s="35">
        <f>J14/(1+K19)^J12</f>
        <v>101796.4711</v>
      </c>
      <c r="K15" s="35">
        <f>if(K14="","",K14/(1+K19)^K12)</f>
        <v>1756588.937</v>
      </c>
      <c r="L15" s="36"/>
    </row>
    <row r="16"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B17" s="2"/>
      <c r="C17" s="2"/>
      <c r="D17" s="2"/>
      <c r="E17" s="2"/>
      <c r="F17" s="2"/>
      <c r="G17" s="2"/>
      <c r="H17" s="2"/>
      <c r="I17" s="2"/>
      <c r="J17" s="2"/>
      <c r="K17" s="2"/>
    </row>
    <row r="18">
      <c r="B18" s="2"/>
      <c r="C18" s="2"/>
      <c r="D18" s="2"/>
      <c r="E18" s="2"/>
      <c r="F18" s="2"/>
      <c r="G18" s="2"/>
      <c r="H18" s="2"/>
      <c r="I18" s="2"/>
      <c r="J18" s="37" t="s">
        <v>13</v>
      </c>
      <c r="K18" s="38">
        <v>0.025</v>
      </c>
    </row>
    <row r="19">
      <c r="A19" s="39" t="s">
        <v>14</v>
      </c>
      <c r="B19" s="40">
        <f>SUM(B15:K15)</f>
        <v>2740895.368</v>
      </c>
      <c r="C19" s="2"/>
      <c r="D19" s="2"/>
      <c r="E19" s="2"/>
      <c r="F19" s="2"/>
      <c r="G19" s="2"/>
      <c r="H19" s="2"/>
      <c r="I19" s="2"/>
      <c r="J19" s="41" t="s">
        <v>15</v>
      </c>
      <c r="K19" s="38">
        <v>0.08</v>
      </c>
    </row>
    <row r="20">
      <c r="A20" s="42" t="s">
        <v>16</v>
      </c>
      <c r="B20" s="43">
        <v>65171.0</v>
      </c>
      <c r="C20" s="2"/>
      <c r="D20" s="2"/>
      <c r="E20" s="2"/>
      <c r="F20" s="2"/>
      <c r="G20" s="2"/>
      <c r="H20" s="2"/>
      <c r="I20" s="2"/>
      <c r="J20" s="2"/>
      <c r="K20" s="2"/>
    </row>
    <row r="21">
      <c r="A21" s="42" t="s">
        <v>17</v>
      </c>
      <c r="B21" s="44">
        <v>106629.0</v>
      </c>
      <c r="C21" s="2"/>
      <c r="D21" s="2"/>
      <c r="E21" s="2"/>
      <c r="F21" s="2"/>
      <c r="G21" s="2"/>
      <c r="H21" s="2"/>
      <c r="I21" s="2"/>
      <c r="J21" s="2"/>
      <c r="K21" s="2"/>
    </row>
    <row r="22">
      <c r="A22" s="42" t="s">
        <v>18</v>
      </c>
      <c r="B22" s="45">
        <f>B19+B20-B21</f>
        <v>2699437.368</v>
      </c>
      <c r="C22" s="2"/>
      <c r="D22" s="2"/>
      <c r="E22" s="2"/>
      <c r="F22" s="2"/>
      <c r="G22" s="2"/>
      <c r="H22" s="2"/>
      <c r="I22" s="2"/>
      <c r="J22" s="2"/>
      <c r="K22" s="2"/>
    </row>
    <row r="23">
      <c r="A23" s="42" t="s">
        <v>19</v>
      </c>
      <c r="B23" s="46">
        <v>14590.0</v>
      </c>
      <c r="C23" s="2"/>
      <c r="D23" s="2"/>
      <c r="E23" s="2"/>
      <c r="F23" s="2"/>
      <c r="G23" s="2"/>
      <c r="H23" s="2"/>
      <c r="I23" s="2"/>
      <c r="J23" s="2"/>
      <c r="K23" s="2"/>
    </row>
    <row r="24">
      <c r="A24" s="47" t="s">
        <v>20</v>
      </c>
      <c r="B24" s="48">
        <f>B22/B23</f>
        <v>185.0196963</v>
      </c>
      <c r="C24" s="2"/>
      <c r="D24" s="2"/>
      <c r="E24" s="2"/>
      <c r="F24" s="2"/>
      <c r="G24" s="2"/>
      <c r="H24" s="2"/>
      <c r="I24" s="2"/>
      <c r="J24" s="2"/>
      <c r="K24" s="2"/>
    </row>
    <row r="25">
      <c r="A25" s="49"/>
      <c r="B25" s="49"/>
      <c r="C25" s="2"/>
      <c r="D25" s="2"/>
      <c r="E25" s="2"/>
      <c r="F25" s="2"/>
      <c r="G25" s="2"/>
      <c r="H25" s="2"/>
      <c r="I25" s="2"/>
      <c r="J25" s="2"/>
      <c r="K25" s="2"/>
    </row>
    <row r="26">
      <c r="B26" s="2"/>
      <c r="C26" s="2"/>
      <c r="D26" s="2"/>
      <c r="E26" s="2"/>
      <c r="F26" s="2"/>
      <c r="G26" s="2"/>
      <c r="H26" s="2"/>
      <c r="I26" s="2"/>
      <c r="J26" s="2"/>
      <c r="K26" s="2"/>
    </row>
    <row r="27">
      <c r="B27" s="2"/>
      <c r="C27" s="2"/>
      <c r="D27" s="2"/>
      <c r="E27" s="2"/>
      <c r="F27" s="2"/>
      <c r="G27" s="2"/>
      <c r="H27" s="2"/>
      <c r="I27" s="2"/>
      <c r="J27" s="2"/>
      <c r="K27" s="2"/>
    </row>
    <row r="28">
      <c r="B28" s="2"/>
      <c r="C28" s="2"/>
      <c r="D28" s="2"/>
      <c r="E28" s="2"/>
      <c r="F28" s="2"/>
      <c r="G28" s="2"/>
      <c r="H28" s="2"/>
      <c r="I28" s="2"/>
      <c r="J28" s="2"/>
      <c r="K28" s="2"/>
    </row>
    <row r="29">
      <c r="B29" s="2"/>
      <c r="C29" s="2"/>
      <c r="D29" s="2"/>
      <c r="E29" s="2"/>
      <c r="F29" s="2"/>
      <c r="G29" s="2"/>
      <c r="H29" s="2"/>
      <c r="I29" s="2"/>
      <c r="J29" s="2"/>
      <c r="K29" s="2"/>
    </row>
    <row r="30">
      <c r="B30" s="2"/>
      <c r="C30" s="2"/>
      <c r="D30" s="2"/>
      <c r="E30" s="2"/>
      <c r="F30" s="2"/>
      <c r="G30" s="2"/>
      <c r="H30" s="2"/>
      <c r="I30" s="2"/>
      <c r="J30" s="2"/>
      <c r="K30" s="2"/>
    </row>
    <row r="31">
      <c r="B31" s="2"/>
      <c r="C31" s="2"/>
      <c r="D31" s="2"/>
      <c r="E31" s="2"/>
      <c r="F31" s="2"/>
      <c r="G31" s="2"/>
      <c r="H31" s="2"/>
      <c r="I31" s="2"/>
      <c r="J31" s="2"/>
      <c r="K31" s="2"/>
    </row>
    <row r="32">
      <c r="B32" s="2"/>
      <c r="C32" s="2"/>
      <c r="D32" s="2"/>
      <c r="E32" s="2"/>
      <c r="F32" s="2"/>
      <c r="G32" s="2"/>
      <c r="H32" s="2"/>
      <c r="I32" s="2"/>
      <c r="J32" s="2"/>
      <c r="K32" s="2"/>
    </row>
    <row r="33">
      <c r="B33" s="2"/>
      <c r="C33" s="2"/>
      <c r="D33" s="2"/>
      <c r="E33" s="2"/>
      <c r="F33" s="2"/>
      <c r="G33" s="2"/>
      <c r="H33" s="2"/>
      <c r="I33" s="2"/>
      <c r="J33" s="2"/>
      <c r="K33" s="2"/>
    </row>
    <row r="34">
      <c r="B34" s="2"/>
      <c r="C34" s="2"/>
      <c r="D34" s="2"/>
      <c r="E34" s="2"/>
      <c r="F34" s="2"/>
      <c r="G34" s="2"/>
      <c r="H34" s="2"/>
      <c r="I34" s="2"/>
      <c r="J34" s="2"/>
      <c r="K34" s="2"/>
    </row>
    <row r="35">
      <c r="B35" s="2"/>
      <c r="C35" s="2"/>
      <c r="D35" s="2"/>
      <c r="E35" s="2"/>
      <c r="F35" s="2"/>
      <c r="G35" s="2"/>
      <c r="H35" s="2"/>
      <c r="I35" s="2"/>
      <c r="J35" s="2"/>
      <c r="K35" s="2"/>
    </row>
    <row r="36">
      <c r="B36" s="2"/>
      <c r="C36" s="2"/>
      <c r="D36" s="2"/>
      <c r="E36" s="2"/>
      <c r="F36" s="2"/>
      <c r="G36" s="2"/>
      <c r="H36" s="2"/>
      <c r="I36" s="2"/>
      <c r="J36" s="2"/>
      <c r="K36" s="2"/>
    </row>
    <row r="37">
      <c r="B37" s="2"/>
      <c r="C37" s="2"/>
      <c r="D37" s="2"/>
      <c r="E37" s="2"/>
      <c r="F37" s="2"/>
      <c r="G37" s="2"/>
      <c r="H37" s="2"/>
      <c r="I37" s="2"/>
      <c r="J37" s="2"/>
      <c r="K37" s="2"/>
    </row>
    <row r="38">
      <c r="B38" s="2"/>
      <c r="C38" s="2"/>
      <c r="D38" s="2"/>
      <c r="E38" s="2"/>
      <c r="F38" s="2"/>
      <c r="G38" s="2"/>
      <c r="H38" s="2"/>
      <c r="I38" s="2"/>
      <c r="J38" s="2"/>
      <c r="K38" s="2"/>
    </row>
    <row r="39">
      <c r="B39" s="2"/>
      <c r="C39" s="2"/>
      <c r="D39" s="2"/>
      <c r="E39" s="2"/>
      <c r="F39" s="2"/>
      <c r="G39" s="2"/>
      <c r="H39" s="2"/>
      <c r="I39" s="2"/>
      <c r="J39" s="2"/>
      <c r="K39" s="2"/>
    </row>
    <row r="40">
      <c r="B40" s="2"/>
      <c r="C40" s="2"/>
      <c r="D40" s="2"/>
      <c r="E40" s="2"/>
      <c r="F40" s="2"/>
      <c r="G40" s="2"/>
      <c r="H40" s="2"/>
      <c r="I40" s="2"/>
      <c r="J40" s="2"/>
      <c r="K40" s="2"/>
    </row>
    <row r="41">
      <c r="B41" s="2"/>
      <c r="C41" s="2"/>
      <c r="D41" s="2"/>
      <c r="E41" s="2"/>
      <c r="F41" s="2"/>
      <c r="G41" s="2"/>
      <c r="H41" s="2"/>
      <c r="I41" s="2"/>
      <c r="J41" s="2"/>
      <c r="K41" s="2"/>
    </row>
    <row r="42">
      <c r="B42" s="2"/>
      <c r="C42" s="2"/>
      <c r="D42" s="2"/>
      <c r="E42" s="2"/>
      <c r="F42" s="2"/>
      <c r="G42" s="2"/>
      <c r="H42" s="2"/>
      <c r="I42" s="2"/>
      <c r="J42" s="2"/>
      <c r="K42" s="2"/>
    </row>
    <row r="43">
      <c r="B43" s="2"/>
      <c r="C43" s="2"/>
      <c r="D43" s="2"/>
      <c r="E43" s="2"/>
      <c r="F43" s="2"/>
      <c r="G43" s="2"/>
      <c r="H43" s="2"/>
      <c r="I43" s="2"/>
      <c r="J43" s="2"/>
      <c r="K43" s="2"/>
    </row>
    <row r="44">
      <c r="B44" s="2"/>
      <c r="C44" s="2"/>
      <c r="D44" s="2"/>
      <c r="E44" s="2"/>
      <c r="F44" s="2"/>
      <c r="G44" s="2"/>
      <c r="H44" s="2"/>
      <c r="I44" s="2"/>
      <c r="J44" s="2"/>
      <c r="K44" s="2"/>
    </row>
    <row r="45">
      <c r="B45" s="2"/>
      <c r="C45" s="2"/>
      <c r="D45" s="2"/>
      <c r="E45" s="2"/>
      <c r="F45" s="2"/>
      <c r="G45" s="2"/>
      <c r="H45" s="2"/>
      <c r="I45" s="2"/>
      <c r="J45" s="2"/>
      <c r="K45" s="2"/>
    </row>
    <row r="46">
      <c r="B46" s="2"/>
      <c r="C46" s="2"/>
      <c r="D46" s="2"/>
      <c r="E46" s="2"/>
      <c r="F46" s="2"/>
      <c r="G46" s="2"/>
      <c r="H46" s="2"/>
      <c r="I46" s="2"/>
      <c r="J46" s="2"/>
      <c r="K46" s="2"/>
    </row>
    <row r="47">
      <c r="B47" s="2"/>
      <c r="C47" s="2"/>
      <c r="D47" s="2"/>
      <c r="E47" s="2"/>
      <c r="F47" s="2"/>
      <c r="G47" s="2"/>
      <c r="H47" s="2"/>
      <c r="I47" s="2"/>
      <c r="J47" s="2"/>
      <c r="K47" s="2"/>
    </row>
    <row r="48">
      <c r="B48" s="2"/>
      <c r="C48" s="2"/>
      <c r="D48" s="2"/>
      <c r="E48" s="2"/>
      <c r="F48" s="2"/>
      <c r="G48" s="2"/>
      <c r="H48" s="2"/>
      <c r="I48" s="2"/>
      <c r="J48" s="2"/>
      <c r="K48" s="2"/>
    </row>
    <row r="49">
      <c r="B49" s="2"/>
      <c r="C49" s="2"/>
      <c r="D49" s="2"/>
      <c r="E49" s="2"/>
      <c r="F49" s="2"/>
      <c r="G49" s="2"/>
      <c r="H49" s="2"/>
      <c r="I49" s="2"/>
      <c r="J49" s="2"/>
      <c r="K49" s="2"/>
    </row>
    <row r="50">
      <c r="B50" s="2"/>
      <c r="C50" s="2"/>
      <c r="D50" s="2"/>
      <c r="E50" s="2"/>
      <c r="F50" s="2"/>
      <c r="G50" s="2"/>
      <c r="H50" s="2"/>
      <c r="I50" s="2"/>
      <c r="J50" s="2"/>
      <c r="K50" s="2"/>
    </row>
    <row r="51">
      <c r="B51" s="2"/>
      <c r="C51" s="2"/>
      <c r="D51" s="2"/>
      <c r="E51" s="2"/>
      <c r="F51" s="2"/>
      <c r="G51" s="2"/>
      <c r="H51" s="2"/>
      <c r="I51" s="2"/>
      <c r="J51" s="2"/>
      <c r="K51" s="2"/>
    </row>
    <row r="52">
      <c r="B52" s="2"/>
      <c r="C52" s="2"/>
      <c r="D52" s="2"/>
      <c r="E52" s="2"/>
      <c r="F52" s="2"/>
      <c r="G52" s="2"/>
      <c r="H52" s="2"/>
      <c r="I52" s="2"/>
      <c r="J52" s="2"/>
      <c r="K52" s="2"/>
    </row>
    <row r="53">
      <c r="B53" s="2"/>
      <c r="C53" s="2"/>
      <c r="D53" s="2"/>
      <c r="E53" s="2"/>
      <c r="F53" s="2"/>
      <c r="G53" s="2"/>
      <c r="H53" s="2"/>
      <c r="I53" s="2"/>
      <c r="J53" s="2"/>
      <c r="K53" s="2"/>
    </row>
    <row r="54">
      <c r="B54" s="2"/>
      <c r="C54" s="2"/>
      <c r="D54" s="2"/>
      <c r="E54" s="2"/>
      <c r="F54" s="2"/>
      <c r="G54" s="2"/>
      <c r="H54" s="2"/>
      <c r="I54" s="2"/>
      <c r="J54" s="2"/>
      <c r="K54" s="2"/>
    </row>
    <row r="55">
      <c r="B55" s="2"/>
      <c r="C55" s="2"/>
      <c r="D55" s="2"/>
      <c r="E55" s="2"/>
      <c r="F55" s="2"/>
      <c r="G55" s="2"/>
      <c r="H55" s="2"/>
      <c r="I55" s="2"/>
      <c r="J55" s="2"/>
      <c r="K55" s="2"/>
    </row>
    <row r="56">
      <c r="B56" s="2"/>
      <c r="C56" s="2"/>
      <c r="D56" s="2"/>
      <c r="E56" s="2"/>
      <c r="F56" s="2"/>
      <c r="G56" s="2"/>
      <c r="H56" s="2"/>
      <c r="I56" s="2"/>
      <c r="J56" s="2"/>
      <c r="K56" s="2"/>
    </row>
    <row r="57">
      <c r="B57" s="2"/>
      <c r="C57" s="2"/>
      <c r="D57" s="2"/>
      <c r="E57" s="2"/>
      <c r="F57" s="2"/>
      <c r="G57" s="2"/>
      <c r="H57" s="2"/>
      <c r="I57" s="2"/>
      <c r="J57" s="2"/>
      <c r="K57" s="2"/>
    </row>
    <row r="58">
      <c r="B58" s="2"/>
      <c r="C58" s="2"/>
      <c r="D58" s="2"/>
      <c r="E58" s="2"/>
      <c r="F58" s="2"/>
      <c r="G58" s="2"/>
      <c r="H58" s="2"/>
      <c r="I58" s="2"/>
      <c r="J58" s="2"/>
      <c r="K58" s="2"/>
    </row>
    <row r="59">
      <c r="B59" s="2"/>
      <c r="C59" s="2"/>
      <c r="D59" s="2"/>
      <c r="E59" s="2"/>
      <c r="F59" s="2"/>
      <c r="G59" s="2"/>
      <c r="H59" s="2"/>
      <c r="I59" s="2"/>
      <c r="J59" s="2"/>
      <c r="K59" s="2"/>
    </row>
    <row r="60">
      <c r="B60" s="2"/>
      <c r="C60" s="2"/>
      <c r="D60" s="2"/>
      <c r="E60" s="2"/>
      <c r="F60" s="2"/>
      <c r="G60" s="2"/>
      <c r="H60" s="2"/>
      <c r="I60" s="2"/>
      <c r="J60" s="2"/>
      <c r="K60" s="2"/>
    </row>
    <row r="61">
      <c r="B61" s="2"/>
      <c r="C61" s="2"/>
      <c r="D61" s="2"/>
      <c r="E61" s="2"/>
      <c r="F61" s="2"/>
      <c r="G61" s="2"/>
      <c r="H61" s="2"/>
      <c r="I61" s="2"/>
      <c r="J61" s="2"/>
      <c r="K61" s="2"/>
    </row>
    <row r="62">
      <c r="B62" s="2"/>
      <c r="C62" s="2"/>
      <c r="D62" s="2"/>
      <c r="E62" s="2"/>
      <c r="F62" s="2"/>
      <c r="G62" s="2"/>
      <c r="H62" s="2"/>
      <c r="I62" s="2"/>
      <c r="J62" s="2"/>
      <c r="K62" s="2"/>
    </row>
    <row r="63">
      <c r="B63" s="2"/>
      <c r="C63" s="2"/>
      <c r="D63" s="2"/>
      <c r="E63" s="2"/>
      <c r="F63" s="2"/>
      <c r="G63" s="2"/>
      <c r="H63" s="2"/>
      <c r="I63" s="2"/>
      <c r="J63" s="2"/>
      <c r="K63" s="2"/>
    </row>
    <row r="64">
      <c r="B64" s="2"/>
      <c r="C64" s="2"/>
      <c r="D64" s="2"/>
      <c r="E64" s="2"/>
      <c r="F64" s="2"/>
      <c r="G64" s="2"/>
      <c r="H64" s="2"/>
      <c r="I64" s="2"/>
      <c r="J64" s="2"/>
      <c r="K64" s="2"/>
    </row>
    <row r="65">
      <c r="B65" s="2"/>
      <c r="C65" s="2"/>
      <c r="D65" s="2"/>
      <c r="E65" s="2"/>
      <c r="F65" s="2"/>
      <c r="G65" s="2"/>
      <c r="H65" s="2"/>
      <c r="I65" s="2"/>
      <c r="J65" s="2"/>
      <c r="K65" s="2"/>
    </row>
    <row r="66">
      <c r="B66" s="2"/>
      <c r="C66" s="2"/>
      <c r="D66" s="2"/>
      <c r="E66" s="2"/>
      <c r="F66" s="2"/>
      <c r="G66" s="2"/>
      <c r="H66" s="2"/>
      <c r="I66" s="2"/>
      <c r="J66" s="2"/>
      <c r="K66" s="2"/>
    </row>
    <row r="67">
      <c r="B67" s="2"/>
      <c r="C67" s="2"/>
      <c r="D67" s="2"/>
      <c r="E67" s="2"/>
      <c r="F67" s="2"/>
      <c r="G67" s="2"/>
      <c r="H67" s="2"/>
      <c r="I67" s="2"/>
      <c r="J67" s="2"/>
      <c r="K67" s="2"/>
    </row>
    <row r="68">
      <c r="B68" s="2"/>
      <c r="C68" s="2"/>
      <c r="D68" s="2"/>
      <c r="E68" s="2"/>
      <c r="F68" s="2"/>
      <c r="G68" s="2"/>
      <c r="H68" s="2"/>
      <c r="I68" s="2"/>
      <c r="J68" s="2"/>
      <c r="K68" s="2"/>
    </row>
    <row r="69">
      <c r="B69" s="2"/>
      <c r="C69" s="2"/>
      <c r="D69" s="2"/>
      <c r="E69" s="2"/>
      <c r="F69" s="2"/>
      <c r="G69" s="2"/>
      <c r="H69" s="2"/>
      <c r="I69" s="2"/>
      <c r="J69" s="2"/>
      <c r="K69" s="2"/>
    </row>
    <row r="70">
      <c r="B70" s="2"/>
      <c r="C70" s="2"/>
      <c r="D70" s="2"/>
      <c r="E70" s="2"/>
      <c r="F70" s="2"/>
      <c r="G70" s="2"/>
      <c r="H70" s="2"/>
      <c r="I70" s="2"/>
      <c r="J70" s="2"/>
      <c r="K70" s="2"/>
    </row>
    <row r="71">
      <c r="B71" s="2"/>
      <c r="C71" s="2"/>
      <c r="D71" s="2"/>
      <c r="E71" s="2"/>
      <c r="F71" s="2"/>
      <c r="G71" s="2"/>
      <c r="H71" s="2"/>
      <c r="I71" s="2"/>
      <c r="J71" s="2"/>
      <c r="K71" s="2"/>
    </row>
    <row r="72">
      <c r="B72" s="2"/>
      <c r="C72" s="2"/>
      <c r="D72" s="2"/>
      <c r="E72" s="2"/>
      <c r="F72" s="2"/>
      <c r="G72" s="2"/>
      <c r="H72" s="2"/>
      <c r="I72" s="2"/>
      <c r="J72" s="2"/>
      <c r="K72" s="2"/>
    </row>
    <row r="73">
      <c r="B73" s="2"/>
      <c r="C73" s="2"/>
      <c r="D73" s="2"/>
      <c r="E73" s="2"/>
      <c r="F73" s="2"/>
      <c r="G73" s="2"/>
      <c r="H73" s="2"/>
      <c r="I73" s="2"/>
      <c r="J73" s="2"/>
      <c r="K73" s="2"/>
    </row>
    <row r="74">
      <c r="B74" s="2"/>
      <c r="C74" s="2"/>
      <c r="D74" s="2"/>
      <c r="E74" s="2"/>
      <c r="F74" s="2"/>
      <c r="G74" s="2"/>
      <c r="H74" s="2"/>
      <c r="I74" s="2"/>
      <c r="J74" s="2"/>
      <c r="K74" s="2"/>
    </row>
    <row r="75">
      <c r="B75" s="2"/>
      <c r="C75" s="2"/>
      <c r="D75" s="2"/>
      <c r="E75" s="2"/>
      <c r="F75" s="2"/>
      <c r="G75" s="2"/>
      <c r="H75" s="2"/>
      <c r="I75" s="2"/>
      <c r="J75" s="2"/>
      <c r="K75" s="2"/>
    </row>
    <row r="76">
      <c r="B76" s="2"/>
      <c r="C76" s="2"/>
      <c r="D76" s="2"/>
      <c r="E76" s="2"/>
      <c r="F76" s="2"/>
      <c r="G76" s="2"/>
      <c r="H76" s="2"/>
      <c r="I76" s="2"/>
      <c r="J76" s="2"/>
      <c r="K76" s="2"/>
    </row>
    <row r="77">
      <c r="B77" s="2"/>
      <c r="C77" s="2"/>
      <c r="D77" s="2"/>
      <c r="E77" s="2"/>
      <c r="F77" s="2"/>
      <c r="G77" s="2"/>
      <c r="H77" s="2"/>
      <c r="I77" s="2"/>
      <c r="J77" s="2"/>
      <c r="K77" s="2"/>
    </row>
    <row r="78">
      <c r="B78" s="2"/>
      <c r="C78" s="2"/>
      <c r="D78" s="2"/>
      <c r="E78" s="2"/>
      <c r="F78" s="2"/>
      <c r="G78" s="2"/>
      <c r="H78" s="2"/>
      <c r="I78" s="2"/>
      <c r="J78" s="2"/>
      <c r="K78" s="2"/>
    </row>
    <row r="79">
      <c r="B79" s="2"/>
      <c r="C79" s="2"/>
      <c r="D79" s="2"/>
      <c r="E79" s="2"/>
      <c r="F79" s="2"/>
      <c r="G79" s="2"/>
      <c r="H79" s="2"/>
      <c r="I79" s="2"/>
      <c r="J79" s="2"/>
      <c r="K79" s="2"/>
    </row>
    <row r="80">
      <c r="B80" s="2"/>
      <c r="C80" s="2"/>
      <c r="D80" s="2"/>
      <c r="E80" s="2"/>
      <c r="F80" s="2"/>
      <c r="G80" s="2"/>
      <c r="H80" s="2"/>
      <c r="I80" s="2"/>
      <c r="J80" s="2"/>
      <c r="K80" s="2"/>
    </row>
    <row r="81">
      <c r="B81" s="2"/>
      <c r="C81" s="2"/>
      <c r="D81" s="2"/>
      <c r="E81" s="2"/>
      <c r="F81" s="2"/>
      <c r="G81" s="2"/>
      <c r="H81" s="2"/>
      <c r="I81" s="2"/>
      <c r="J81" s="2"/>
      <c r="K81" s="2"/>
    </row>
    <row r="82">
      <c r="B82" s="2"/>
      <c r="C82" s="2"/>
      <c r="D82" s="2"/>
      <c r="E82" s="2"/>
      <c r="F82" s="2"/>
      <c r="G82" s="2"/>
      <c r="H82" s="2"/>
      <c r="I82" s="2"/>
      <c r="J82" s="2"/>
      <c r="K82" s="2"/>
    </row>
    <row r="83">
      <c r="B83" s="2"/>
      <c r="C83" s="2"/>
      <c r="D83" s="2"/>
      <c r="E83" s="2"/>
      <c r="F83" s="2"/>
      <c r="G83" s="2"/>
      <c r="H83" s="2"/>
      <c r="I83" s="2"/>
      <c r="J83" s="2"/>
      <c r="K83" s="2"/>
    </row>
    <row r="84">
      <c r="B84" s="2"/>
      <c r="C84" s="2"/>
      <c r="D84" s="2"/>
      <c r="E84" s="2"/>
      <c r="F84" s="2"/>
      <c r="G84" s="2"/>
      <c r="H84" s="2"/>
      <c r="I84" s="2"/>
      <c r="J84" s="2"/>
      <c r="K84" s="2"/>
    </row>
    <row r="85">
      <c r="B85" s="2"/>
      <c r="C85" s="2"/>
      <c r="D85" s="2"/>
      <c r="E85" s="2"/>
      <c r="F85" s="2"/>
      <c r="G85" s="2"/>
      <c r="H85" s="2"/>
      <c r="I85" s="2"/>
      <c r="J85" s="2"/>
      <c r="K85" s="2"/>
    </row>
    <row r="86">
      <c r="B86" s="2"/>
      <c r="C86" s="2"/>
      <c r="D86" s="2"/>
      <c r="E86" s="2"/>
      <c r="F86" s="2"/>
      <c r="G86" s="2"/>
      <c r="H86" s="2"/>
      <c r="I86" s="2"/>
      <c r="J86" s="2"/>
      <c r="K86" s="2"/>
    </row>
    <row r="87">
      <c r="B87" s="2"/>
      <c r="C87" s="2"/>
      <c r="D87" s="2"/>
      <c r="E87" s="2"/>
      <c r="F87" s="2"/>
      <c r="G87" s="2"/>
      <c r="H87" s="2"/>
      <c r="I87" s="2"/>
      <c r="J87" s="2"/>
      <c r="K87" s="2"/>
    </row>
    <row r="88">
      <c r="B88" s="2"/>
      <c r="C88" s="2"/>
      <c r="D88" s="2"/>
      <c r="E88" s="2"/>
      <c r="F88" s="2"/>
      <c r="G88" s="2"/>
      <c r="H88" s="2"/>
      <c r="I88" s="2"/>
      <c r="J88" s="2"/>
      <c r="K88" s="2"/>
    </row>
    <row r="89">
      <c r="B89" s="2"/>
      <c r="C89" s="2"/>
      <c r="D89" s="2"/>
      <c r="E89" s="2"/>
      <c r="F89" s="2"/>
      <c r="G89" s="2"/>
      <c r="H89" s="2"/>
      <c r="I89" s="2"/>
      <c r="J89" s="2"/>
      <c r="K89" s="2"/>
    </row>
    <row r="90">
      <c r="B90" s="2"/>
      <c r="C90" s="2"/>
      <c r="D90" s="2"/>
      <c r="E90" s="2"/>
      <c r="F90" s="2"/>
      <c r="G90" s="2"/>
      <c r="H90" s="2"/>
      <c r="I90" s="2"/>
      <c r="J90" s="2"/>
      <c r="K90" s="2"/>
    </row>
    <row r="91">
      <c r="B91" s="2"/>
      <c r="C91" s="2"/>
      <c r="D91" s="2"/>
      <c r="E91" s="2"/>
      <c r="F91" s="2"/>
      <c r="G91" s="2"/>
      <c r="H91" s="2"/>
      <c r="I91" s="2"/>
      <c r="J91" s="2"/>
      <c r="K91" s="2"/>
    </row>
    <row r="92">
      <c r="B92" s="2"/>
      <c r="C92" s="2"/>
      <c r="D92" s="2"/>
      <c r="E92" s="2"/>
      <c r="F92" s="2"/>
      <c r="G92" s="2"/>
      <c r="H92" s="2"/>
      <c r="I92" s="2"/>
      <c r="J92" s="2"/>
      <c r="K92" s="2"/>
    </row>
    <row r="93">
      <c r="B93" s="2"/>
      <c r="C93" s="2"/>
      <c r="D93" s="2"/>
      <c r="E93" s="2"/>
      <c r="F93" s="2"/>
      <c r="G93" s="2"/>
      <c r="H93" s="2"/>
      <c r="I93" s="2"/>
      <c r="J93" s="2"/>
      <c r="K93" s="2"/>
    </row>
    <row r="94">
      <c r="B94" s="2"/>
      <c r="C94" s="2"/>
      <c r="D94" s="2"/>
      <c r="E94" s="2"/>
      <c r="F94" s="2"/>
      <c r="G94" s="2"/>
      <c r="H94" s="2"/>
      <c r="I94" s="2"/>
      <c r="J94" s="2"/>
      <c r="K94" s="2"/>
    </row>
    <row r="95">
      <c r="B95" s="2"/>
      <c r="C95" s="2"/>
      <c r="D95" s="2"/>
      <c r="E95" s="2"/>
      <c r="F95" s="2"/>
      <c r="G95" s="2"/>
      <c r="H95" s="2"/>
      <c r="I95" s="2"/>
      <c r="J95" s="2"/>
      <c r="K95" s="2"/>
    </row>
    <row r="96">
      <c r="B96" s="2"/>
      <c r="C96" s="2"/>
      <c r="D96" s="2"/>
      <c r="E96" s="2"/>
      <c r="F96" s="2"/>
      <c r="G96" s="2"/>
      <c r="H96" s="2"/>
      <c r="I96" s="2"/>
      <c r="J96" s="2"/>
      <c r="K96" s="2"/>
    </row>
    <row r="97">
      <c r="B97" s="2"/>
      <c r="C97" s="2"/>
      <c r="D97" s="2"/>
      <c r="E97" s="2"/>
      <c r="F97" s="2"/>
      <c r="G97" s="2"/>
      <c r="H97" s="2"/>
      <c r="I97" s="2"/>
      <c r="J97" s="2"/>
      <c r="K97" s="2"/>
    </row>
    <row r="98">
      <c r="B98" s="2"/>
      <c r="C98" s="2"/>
      <c r="D98" s="2"/>
      <c r="E98" s="2"/>
      <c r="F98" s="2"/>
      <c r="G98" s="2"/>
      <c r="H98" s="2"/>
      <c r="I98" s="2"/>
      <c r="J98" s="2"/>
      <c r="K98" s="2"/>
    </row>
    <row r="99">
      <c r="B99" s="2"/>
      <c r="C99" s="2"/>
      <c r="D99" s="2"/>
      <c r="E99" s="2"/>
      <c r="F99" s="2"/>
      <c r="G99" s="2"/>
      <c r="H99" s="2"/>
      <c r="I99" s="2"/>
      <c r="J99" s="2"/>
      <c r="K99" s="2"/>
    </row>
    <row r="100"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mergeCells count="4">
    <mergeCell ref="A2:A3"/>
    <mergeCell ref="C2:I3"/>
    <mergeCell ref="A24:A25"/>
    <mergeCell ref="B24:B2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