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<sst xmlns="http://schemas.openxmlformats.org/spreadsheetml/2006/main" count="20" uniqueCount="19">
  <si>
    <t>stock</t>
  </si>
  <si>
    <t>AAPL</t>
  </si>
  <si>
    <t>DISCOUNTED CASHFLOW ANALYSIS MODEL</t>
  </si>
  <si>
    <t>YEAR</t>
  </si>
  <si>
    <t>FREE CASH FLOW</t>
  </si>
  <si>
    <t>GROWTH</t>
  </si>
  <si>
    <t>Growth rate:</t>
  </si>
  <si>
    <t>average growth rate</t>
  </si>
  <si>
    <t>TERMINAL VALUE</t>
  </si>
  <si>
    <t>FUTURE FREE CASHFLOW</t>
  </si>
  <si>
    <t>PV OF FFCF</t>
  </si>
  <si>
    <t>perpetual growth rate</t>
  </si>
  <si>
    <t>sum of FCF</t>
  </si>
  <si>
    <t>Discount rate</t>
  </si>
  <si>
    <t>Cash and cash equivalents</t>
  </si>
  <si>
    <t>TOTAL DEBT</t>
  </si>
  <si>
    <t>Equity Value</t>
  </si>
  <si>
    <t>Shares outstanding</t>
  </si>
  <si>
    <t>DCF Price per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</si>
</sst>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25.0"/>
      <color theme="1"/>
      <name val="Arial"/>
      <scheme val="minor"/>
    </font>
    <font>
      <sz val="18.0"/>
      <color theme="1"/>
      <name val="Arial"/>
      <scheme val="minor"/>
    </font>
    <font>
      <sz val="5.0"/>
      <color theme="1"/>
      <name val="Arial"/>
      <scheme val="minor"/>
    </font>
    <font>
      <sz val="11.0"/>
      <color rgb="FF000000"/>
      <name val="Roboto"/>
    </font>
    <font>
      <sz val="11.0"/>
      <color rgb="FF000000"/>
      <name val="Arial"/>
    </font>
    <font>
      <sz val="14.0"/>
      <color theme="1"/>
      <name val="Arial"/>
      <scheme val="minor"/>
    </font>
    <font/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C4125"/>
        <bgColor rgb="FFCC4125"/>
      </patternFill>
    </fill>
  </fills>
  <borders count="1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2" fillId="3" fontId="1" numFmtId="0" xfId="0" applyAlignment="1" applyBorder="1" applyFill="1" applyFont="1">
      <alignment readingOrder="0"/>
    </xf>
    <xf borderId="3" fillId="4" fontId="1" numFmtId="0" xfId="0" applyAlignment="1" applyBorder="1" applyFill="1" applyFont="1">
      <alignment horizontal="center" readingOrder="0"/>
    </xf>
    <xf borderId="3" fillId="4" fontId="1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readingOrder="0"/>
    </xf>
    <xf borderId="4" fillId="5" fontId="1" numFmtId="164" xfId="0" applyAlignment="1" applyBorder="1" applyFill="1" applyFont="1" applyNumberFormat="1">
      <alignment horizontal="center" readingOrder="0"/>
    </xf>
    <xf borderId="4" fillId="5" fontId="5" numFmtId="164" xfId="0" applyAlignment="1" applyBorder="1" applyFill="1" applyFont="1" applyNumberFormat="1">
      <alignment horizontal="center" readingOrder="0"/>
    </xf>
    <xf borderId="1" fillId="3" fontId="1" numFmtId="0" xfId="0" applyAlignment="1" applyBorder="1" applyFill="1" applyFont="1">
      <alignment readingOrder="0"/>
    </xf>
    <xf borderId="5" fillId="0" fontId="1" numFmtId="10" xfId="0" applyAlignment="1" applyBorder="1" applyFont="1" applyNumberFormat="1">
      <alignment horizontal="center"/>
    </xf>
    <xf borderId="6" fillId="0" fontId="1" numFmtId="10" xfId="0" applyAlignment="1" applyBorder="1" applyFont="1" applyNumberFormat="1">
      <alignment horizontal="center" readingOrder="0"/>
    </xf>
    <xf borderId="4" fillId="3" fontId="1" numFmtId="0" xfId="0" applyAlignment="1" applyBorder="1" applyFill="1" applyFont="1">
      <alignment horizontal="center" readingOrder="0"/>
    </xf>
    <xf borderId="4" fillId="3" fontId="1" numFmtId="10" xfId="0" applyAlignment="1" applyBorder="1" applyFill="1" applyFont="1" applyNumberFormat="1">
      <alignment horizontal="center" readingOrder="0"/>
    </xf>
    <xf borderId="4" fillId="5" fontId="1" numFmtId="0" xfId="0" applyAlignment="1" applyBorder="1" applyFill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4" fillId="6" fontId="1" numFmtId="0" xfId="0" applyAlignment="1" applyBorder="1" applyFill="1" applyFont="1">
      <alignment readingOrder="0"/>
    </xf>
    <xf borderId="4" fillId="7" fontId="1" numFmtId="0" xfId="0" applyAlignment="1" applyBorder="1" applyFill="1" applyFont="1">
      <alignment horizontal="center" readingOrder="0"/>
    </xf>
    <xf borderId="7" fillId="7" fontId="1" numFmtId="0" xfId="0" applyAlignment="1" applyBorder="1" applyFill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8" fillId="0" fontId="1" numFmtId="164" xfId="0" applyAlignment="1" applyBorder="1" applyFont="1" applyNumberFormat="1">
      <alignment horizontal="center" readingOrder="0"/>
    </xf>
    <xf borderId="1" fillId="8" fontId="5" numFmtId="164" xfId="0" applyAlignment="1" applyBorder="1" applyFill="1" applyFont="1" applyNumberFormat="1">
      <alignment readingOrder="0"/>
    </xf>
    <xf borderId="9" fillId="0" fontId="1" numFmtId="0" xfId="0" applyBorder="1" applyFont="1"/>
    <xf borderId="4" fillId="0" fontId="1" numFmtId="164" xfId="0" applyAlignment="1" applyBorder="1" applyFont="1" applyNumberFormat="1">
      <alignment horizontal="center"/>
    </xf>
    <xf borderId="4" fillId="0" fontId="1" numFmtId="0" xfId="0" applyBorder="1" applyFont="1"/>
    <xf borderId="4" fillId="9" fontId="1" numFmtId="10" xfId="0" applyAlignment="1" applyBorder="1" applyFill="1" applyFont="1" applyNumberFormat="1">
      <alignment horizontal="center" readingOrder="0"/>
    </xf>
    <xf borderId="10" fillId="0" fontId="1" numFmtId="0" xfId="0" applyAlignment="1" applyBorder="1" applyFont="1">
      <alignment readingOrder="0"/>
    </xf>
    <xf borderId="11" fillId="0" fontId="1" numFmtId="164" xfId="0" applyAlignment="1" applyBorder="1" applyFont="1" applyNumberFormat="1">
      <alignment horizontal="center"/>
    </xf>
    <xf borderId="4" fillId="10" fontId="1" numFmtId="0" xfId="0" applyAlignment="1" applyBorder="1" applyFill="1" applyFont="1">
      <alignment horizontal="center" readingOrder="0"/>
    </xf>
    <xf borderId="4" fillId="9" fontId="1" numFmtId="9" xfId="0" applyAlignment="1" applyBorder="1" applyFill="1" applyFont="1" applyNumberFormat="1">
      <alignment horizontal="center" readingOrder="0"/>
    </xf>
    <xf borderId="12" fillId="0" fontId="1" numFmtId="0" xfId="0" applyAlignment="1" applyBorder="1" applyFont="1">
      <alignment readingOrder="0"/>
    </xf>
    <xf borderId="0" fillId="6" fontId="6" numFmtId="164" xfId="0" applyAlignment="1" applyFill="1" applyFont="1" applyNumberFormat="1">
      <alignment horizontal="right" readingOrder="0" shrinkToFit="0" wrapText="0"/>
    </xf>
    <xf borderId="13" fillId="6" fontId="1" numFmtId="164" xfId="0" applyAlignment="1" applyBorder="1" applyFill="1" applyFont="1" applyNumberFormat="1">
      <alignment horizontal="center" readingOrder="0"/>
    </xf>
    <xf borderId="13" fillId="0" fontId="1" numFmtId="164" xfId="0" applyAlignment="1" applyBorder="1" applyFont="1" applyNumberFormat="1">
      <alignment horizontal="center"/>
    </xf>
    <xf borderId="13" fillId="6" fontId="1" numFmtId="0" xfId="0" applyAlignment="1" applyBorder="1" applyFill="1" applyFont="1">
      <alignment horizontal="center" readingOrder="0"/>
    </xf>
    <xf borderId="12" fillId="9" fontId="7" numFmtId="0" xfId="0" applyAlignment="1" applyBorder="1" applyFill="1" applyFont="1">
      <alignment horizontal="center" readingOrder="0" vertical="center"/>
    </xf>
    <xf borderId="12" fillId="9" fontId="1" numFmtId="164" xfId="0" applyAlignment="1" applyBorder="1" applyFill="1" applyFont="1" applyNumberFormat="1">
      <alignment horizontal="center"/>
    </xf>
    <xf borderId="12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10" max="10" width="21.5"/>
    <col customWidth="1" min="11" max="11" width="27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2"/>
      <c r="C2" s="4" t="s">
        <v>2</v>
      </c>
      <c r="J2" s="2"/>
      <c r="K2" s="2"/>
    </row>
    <row r="3">
      <c r="B3" s="2"/>
      <c r="J3" s="2"/>
      <c r="K3" s="2"/>
    </row>
    <row r="4"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5" t="s">
        <v>3</v>
      </c>
      <c r="B5" s="6">
        <v>2015.0</v>
      </c>
      <c r="C5" s="6">
        <f t="shared" ref="C5:K5" si="1">B5+1</f>
        <v>2016</v>
      </c>
      <c r="D5" s="6">
        <f t="shared" si="1"/>
        <v>2017</v>
      </c>
      <c r="E5" s="6">
        <f t="shared" si="1"/>
        <v>2018</v>
      </c>
      <c r="F5" s="6">
        <f t="shared" si="1"/>
        <v>2019</v>
      </c>
      <c r="G5" s="6">
        <f t="shared" si="1"/>
        <v>2020</v>
      </c>
      <c r="H5" s="6">
        <f t="shared" si="1"/>
        <v>2021</v>
      </c>
      <c r="I5" s="6">
        <f t="shared" si="1"/>
        <v>2022</v>
      </c>
      <c r="J5" s="6">
        <f t="shared" si="1"/>
        <v>2023</v>
      </c>
      <c r="K5" s="6">
        <f t="shared" si="1"/>
        <v>2024</v>
      </c>
      <c r="L5" s="7"/>
    </row>
    <row r="6">
      <c r="A6" s="8" t="s">
        <v>4</v>
      </c>
      <c r="B6" s="9">
        <v>70019.0</v>
      </c>
      <c r="C6" s="9">
        <v>53497.0</v>
      </c>
      <c r="D6" s="9">
        <v>51774.0</v>
      </c>
      <c r="E6" s="9">
        <v>64121.0</v>
      </c>
      <c r="F6" s="9">
        <v>58896.0</v>
      </c>
      <c r="G6" s="9">
        <v>73365.0</v>
      </c>
      <c r="H6" s="10">
        <v>92953.0</v>
      </c>
      <c r="I6" s="9">
        <v>111443.0</v>
      </c>
      <c r="J6" s="9">
        <v>99584.0</v>
      </c>
      <c r="K6" s="9">
        <v>108807.0</v>
      </c>
    </row>
    <row r="7">
      <c r="A7" s="11" t="s">
        <v>5</v>
      </c>
      <c r="B7" s="12" t="str">
        <f t="shared" ref="B7:J7" si="2">(B6-A6)/A6</f>
        <v>#VALUE!</v>
      </c>
      <c r="C7" s="12">
        <f t="shared" si="2"/>
        <v>-0.2359645239</v>
      </c>
      <c r="D7" s="12">
        <f t="shared" si="2"/>
        <v>-0.0322074135</v>
      </c>
      <c r="E7" s="12">
        <f t="shared" si="2"/>
        <v>0.2384787731</v>
      </c>
      <c r="F7" s="12">
        <f t="shared" si="2"/>
        <v>-0.08148656446</v>
      </c>
      <c r="G7" s="12">
        <f t="shared" si="2"/>
        <v>0.2456703341</v>
      </c>
      <c r="H7" s="12">
        <f t="shared" si="2"/>
        <v>0.2669937981</v>
      </c>
      <c r="I7" s="12">
        <f t="shared" si="2"/>
        <v>0.1989177326</v>
      </c>
      <c r="J7" s="12">
        <f t="shared" si="2"/>
        <v>-0.1064131439</v>
      </c>
      <c r="K7" s="13">
        <v>-0.1064</v>
      </c>
    </row>
    <row r="8"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B9" s="2"/>
      <c r="C9" s="2"/>
      <c r="D9" s="2"/>
      <c r="E9" s="2"/>
      <c r="F9" s="2"/>
      <c r="G9" s="2"/>
      <c r="H9" s="2"/>
      <c r="I9" s="2"/>
      <c r="J9" s="14" t="s">
        <v>6</v>
      </c>
      <c r="K9" s="15">
        <v>0.164</v>
      </c>
    </row>
    <row r="10">
      <c r="B10" s="2"/>
      <c r="C10" s="2"/>
      <c r="D10" s="2"/>
      <c r="E10" s="2"/>
      <c r="F10" s="2"/>
      <c r="G10" s="2"/>
      <c r="H10" s="2"/>
      <c r="I10" s="2"/>
      <c r="J10" s="16" t="s">
        <v>7</v>
      </c>
      <c r="K10" s="17">
        <f>AVERAGE(C7:K7)</f>
        <v>0.04306544358</v>
      </c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B12" s="18">
        <v>1.0</v>
      </c>
      <c r="C12" s="2">
        <f t="shared" ref="C12:K12" si="3">B12+1</f>
        <v>2</v>
      </c>
      <c r="D12" s="2">
        <f t="shared" si="3"/>
        <v>3</v>
      </c>
      <c r="E12" s="2">
        <f t="shared" si="3"/>
        <v>4</v>
      </c>
      <c r="F12" s="2">
        <f t="shared" si="3"/>
        <v>5</v>
      </c>
      <c r="G12" s="2">
        <f t="shared" si="3"/>
        <v>6</v>
      </c>
      <c r="H12" s="2">
        <f t="shared" si="3"/>
        <v>7</v>
      </c>
      <c r="I12" s="2">
        <f t="shared" si="3"/>
        <v>8</v>
      </c>
      <c r="J12" s="2">
        <f t="shared" si="3"/>
        <v>9</v>
      </c>
      <c r="K12" s="2">
        <f t="shared" si="3"/>
        <v>10</v>
      </c>
    </row>
    <row r="13">
      <c r="A13" s="19" t="s">
        <v>3</v>
      </c>
      <c r="B13" s="20">
        <v>2025.0</v>
      </c>
      <c r="C13" s="20">
        <f t="shared" ref="C13:J13" si="4">B13+1</f>
        <v>2026</v>
      </c>
      <c r="D13" s="20">
        <f t="shared" si="4"/>
        <v>2027</v>
      </c>
      <c r="E13" s="20">
        <f t="shared" si="4"/>
        <v>2028</v>
      </c>
      <c r="F13" s="20">
        <f t="shared" si="4"/>
        <v>2029</v>
      </c>
      <c r="G13" s="20">
        <f t="shared" si="4"/>
        <v>2030</v>
      </c>
      <c r="H13" s="20">
        <f t="shared" si="4"/>
        <v>2031</v>
      </c>
      <c r="I13" s="20">
        <f t="shared" si="4"/>
        <v>2032</v>
      </c>
      <c r="J13" s="20">
        <f t="shared" si="4"/>
        <v>2033</v>
      </c>
      <c r="K13" s="21" t="s">
        <v>8</v>
      </c>
    </row>
    <row r="14">
      <c r="A14" s="19" t="s">
        <v>9</v>
      </c>
      <c r="B14" s="22">
        <v>126651.35</v>
      </c>
      <c r="C14" s="22">
        <f t="shared" ref="C14:J14" si="5">B14*(1+$K$9)</f>
        <v>147422.1714</v>
      </c>
      <c r="D14" s="22">
        <f t="shared" si="5"/>
        <v>171599.4075</v>
      </c>
      <c r="E14" s="22">
        <f t="shared" si="5"/>
        <v>199741.7103</v>
      </c>
      <c r="F14" s="22">
        <f t="shared" si="5"/>
        <v>232499.3508</v>
      </c>
      <c r="G14" s="22">
        <f t="shared" si="5"/>
        <v>270629.2444</v>
      </c>
      <c r="H14" s="22">
        <f t="shared" si="5"/>
        <v>315012.4405</v>
      </c>
      <c r="I14" s="22">
        <f t="shared" si="5"/>
        <v>366674.4807</v>
      </c>
      <c r="J14" s="23">
        <f t="shared" si="5"/>
        <v>426809.0955</v>
      </c>
      <c r="K14" s="24">
        <f>J14*(1+K18)/(K19-K18)</f>
        <v>7954169.507</v>
      </c>
      <c r="L14" s="25"/>
    </row>
    <row r="15">
      <c r="A15" s="19" t="s">
        <v>10</v>
      </c>
      <c r="B15" s="26">
        <f t="shared" ref="B15:J15" si="6">B14/(1+K9)^B12</f>
        <v>108807.0017</v>
      </c>
      <c r="C15" s="26">
        <f t="shared" si="6"/>
        <v>147422.1714</v>
      </c>
      <c r="D15" s="26">
        <f t="shared" si="6"/>
        <v>171599.4075</v>
      </c>
      <c r="E15" s="26">
        <f t="shared" si="6"/>
        <v>199741.7103</v>
      </c>
      <c r="F15" s="26">
        <f t="shared" si="6"/>
        <v>232499.3508</v>
      </c>
      <c r="G15" s="26">
        <f t="shared" si="6"/>
        <v>270629.2444</v>
      </c>
      <c r="H15" s="26">
        <f t="shared" si="6"/>
        <v>315012.4405</v>
      </c>
      <c r="I15" s="26">
        <f t="shared" si="6"/>
        <v>366674.4807</v>
      </c>
      <c r="J15" s="26">
        <f t="shared" si="6"/>
        <v>426809.0955</v>
      </c>
      <c r="K15" s="26">
        <f>K14/(1+K19)^K12</f>
        <v>3684319.519</v>
      </c>
      <c r="L15" s="27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B18" s="2"/>
      <c r="C18" s="2"/>
      <c r="D18" s="2"/>
      <c r="E18" s="2"/>
      <c r="F18" s="2"/>
      <c r="G18" s="2"/>
      <c r="H18" s="2"/>
      <c r="I18" s="2"/>
      <c r="J18" s="16" t="s">
        <v>11</v>
      </c>
      <c r="K18" s="28">
        <v>0.025</v>
      </c>
    </row>
    <row r="19">
      <c r="A19" s="29" t="s">
        <v>12</v>
      </c>
      <c r="B19" s="30">
        <f>SUM(B15:J15)</f>
        <v>2239194.903</v>
      </c>
      <c r="C19" s="2"/>
      <c r="D19" s="2"/>
      <c r="E19" s="2"/>
      <c r="F19" s="2"/>
      <c r="G19" s="2"/>
      <c r="H19" s="2"/>
      <c r="I19" s="2"/>
      <c r="J19" s="31" t="s">
        <v>13</v>
      </c>
      <c r="K19" s="32">
        <v>0.08</v>
      </c>
    </row>
    <row r="20">
      <c r="A20" s="33" t="s">
        <v>14</v>
      </c>
      <c r="B20" s="34">
        <v>65171.0</v>
      </c>
      <c r="C20" s="2"/>
      <c r="D20" s="2"/>
      <c r="E20" s="2"/>
      <c r="F20" s="2"/>
      <c r="G20" s="2"/>
      <c r="H20" s="2"/>
      <c r="I20" s="2"/>
      <c r="J20" s="2"/>
      <c r="K20" s="2"/>
    </row>
    <row r="21">
      <c r="A21" s="33" t="s">
        <v>15</v>
      </c>
      <c r="B21" s="35">
        <v>106629.0</v>
      </c>
      <c r="C21" s="2"/>
      <c r="D21" s="2"/>
      <c r="E21" s="2"/>
      <c r="F21" s="2"/>
      <c r="G21" s="2"/>
      <c r="H21" s="2"/>
      <c r="I21" s="2"/>
      <c r="J21" s="2"/>
      <c r="K21" s="2"/>
    </row>
    <row r="22">
      <c r="A22" s="33" t="s">
        <v>16</v>
      </c>
      <c r="B22" s="36">
        <f>B19+B20-B21</f>
        <v>2197736.903</v>
      </c>
      <c r="C22" s="2"/>
      <c r="D22" s="2"/>
      <c r="E22" s="2"/>
      <c r="F22" s="2"/>
      <c r="G22" s="2"/>
      <c r="H22" s="2"/>
      <c r="I22" s="2"/>
      <c r="J22" s="2"/>
      <c r="K22" s="2"/>
    </row>
    <row r="23">
      <c r="A23" s="33" t="s">
        <v>17</v>
      </c>
      <c r="B23" s="37">
        <v>14590.0</v>
      </c>
      <c r="C23" s="2"/>
      <c r="D23" s="2"/>
      <c r="E23" s="2"/>
      <c r="F23" s="2"/>
      <c r="G23" s="2"/>
      <c r="H23" s="2"/>
      <c r="I23" s="2"/>
      <c r="J23" s="2"/>
      <c r="K23" s="2"/>
    </row>
    <row r="24">
      <c r="A24" s="38" t="s">
        <v>18</v>
      </c>
      <c r="B24" s="39">
        <f>B22/B23</f>
        <v>150.6330982</v>
      </c>
      <c r="C24" s="2"/>
      <c r="D24" s="2"/>
      <c r="E24" s="2"/>
      <c r="F24" s="2"/>
      <c r="G24" s="2"/>
      <c r="H24" s="2"/>
      <c r="I24" s="2"/>
      <c r="J24" s="2"/>
      <c r="K24" s="2"/>
    </row>
    <row r="25">
      <c r="A25" s="40"/>
      <c r="B25" s="40"/>
      <c r="C25" s="2"/>
      <c r="D25" s="2"/>
      <c r="E25" s="2"/>
      <c r="F25" s="2"/>
      <c r="G25" s="2"/>
      <c r="H25" s="2"/>
      <c r="I25" s="2"/>
      <c r="J25" s="2"/>
      <c r="K25" s="2"/>
    </row>
    <row r="26"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B31" s="2"/>
      <c r="C31" s="2"/>
      <c r="D31" s="2"/>
      <c r="E31" s="2"/>
      <c r="F31" s="2"/>
      <c r="G31" s="2"/>
      <c r="H31" s="2"/>
      <c r="I31" s="2"/>
      <c r="J31" s="2"/>
      <c r="K31" s="2"/>
    </row>
    <row r="32">
      <c r="B32" s="2"/>
      <c r="C32" s="2"/>
      <c r="D32" s="2"/>
      <c r="E32" s="2"/>
      <c r="F32" s="2"/>
      <c r="G32" s="2"/>
      <c r="H32" s="2"/>
      <c r="I32" s="2"/>
      <c r="J32" s="2"/>
      <c r="K32" s="2"/>
    </row>
    <row r="3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B39" s="2"/>
      <c r="C39" s="2"/>
      <c r="D39" s="2"/>
      <c r="E39" s="2"/>
      <c r="F39" s="2"/>
      <c r="G39" s="2"/>
      <c r="H39" s="2"/>
      <c r="I39" s="2"/>
      <c r="J39" s="2"/>
      <c r="K39" s="2"/>
    </row>
    <row r="40">
      <c r="B40" s="2"/>
      <c r="C40" s="2"/>
      <c r="D40" s="2"/>
      <c r="E40" s="2"/>
      <c r="F40" s="2"/>
      <c r="G40" s="2"/>
      <c r="H40" s="2"/>
      <c r="I40" s="2"/>
      <c r="J40" s="2"/>
      <c r="K40" s="2"/>
    </row>
    <row r="41"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4">
    <mergeCell ref="A2:A3"/>
    <mergeCell ref="C2:I3"/>
    <mergeCell ref="A24:A25"/>
    <mergeCell ref="B24:B25"/>
  </mergeCells>
  <drawing r:id="rId1"/>
</worksheet>
</file>